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 - Starter Rack" sheetId="1" state="visible" r:id="rId3"/>
    <sheet name="P&amp;L Projections" sheetId="2" state="visible" r:id="rId4"/>
    <sheet name="Investment Model" sheetId="3" state="visible" r:id="rId5"/>
    <sheet name="GPU Market Dat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<sst xmlns="http://schemas.openxmlformats.org/spreadsheetml/2006/main" count="178" uniqueCount="166">
  <si>
    <t xml:space="preserve">Island Mountain LLC - Starter Rack Bill of Materials</t>
  </si>
  <si>
    <t xml:space="preserve">Component Pricing Research - May 2026 | Sources: eBay, Newegg, IT Creations, ASA Computers, ServerSupply, Amazon</t>
  </si>
  <si>
    <t xml:space="preserve">Component</t>
  </si>
  <si>
    <t xml:space="preserve">Low Price</t>
  </si>
  <si>
    <t xml:space="preserve">Mid Price</t>
  </si>
  <si>
    <t xml:space="preserve">High Price</t>
  </si>
  <si>
    <t xml:space="preserve">BOM Estimate</t>
  </si>
  <si>
    <t xml:space="preserve">Source Notes</t>
  </si>
  <si>
    <t xml:space="preserve">2x NVIDIA H100 80GB PCIe (refurb)</t>
  </si>
  <si>
    <t xml:space="preserve">Low: $24K ea bulk est. Mid: $33K ea avg. High: $35.67K ea IT Creations</t>
  </si>
  <si>
    <t xml:space="preserve">AMD EPYC 7413 24c/48t (Milan)</t>
  </si>
  <si>
    <t xml:space="preserve">Low: ServerSupply refurb. Mid: Jan 2026 market. High: Newegg new</t>
  </si>
  <si>
    <t xml:space="preserve">Supermicro 4U GPU Chassis (barebone)</t>
  </si>
  <si>
    <t xml:space="preserve">Low: Newegg 741GE-TNR. Mid: Wiredzone AS-4125GS (EPYC). High: Broadberry 420GP</t>
  </si>
  <si>
    <t xml:space="preserve">512GB DDR4-3200 ECC RDIMM (8x64GB)</t>
  </si>
  <si>
    <t xml:space="preserve">Low: HSSL $207/stick. Mid: NEMIX/A-Tech ~$500/stick. High: Samsung OEM $950/stick</t>
  </si>
  <si>
    <t xml:space="preserve">1.92TB NVMe U.2 Boot (enterprise)</t>
  </si>
  <si>
    <t xml:space="preserve">Low: Samsung PM9A3 refurb. Mid: WD SN840. High: Solidigm D7-P5520</t>
  </si>
  <si>
    <t xml:space="preserve">3.84TB NVMe U.2 Model Storage (enterprise)</t>
  </si>
  <si>
    <t xml:space="preserve">Low: Intel P4511 open box. Mid: WD SN840. High: WD SN840 alt SKU</t>
  </si>
  <si>
    <t xml:space="preserve">Redundant 2000W PSU (if not in chassis)</t>
  </si>
  <si>
    <t xml:space="preserve">Supermicro PWS-2K02P-1R $475 ea. Some chassis include PSU.</t>
  </si>
  <si>
    <t xml:space="preserve">Cables, rails, thermal paste, misc</t>
  </si>
  <si>
    <t xml:space="preserve">PCIe risers, power cables, rack rails, thermal compound</t>
  </si>
  <si>
    <t xml:space="preserve">Assembly labor (build + config)</t>
  </si>
  <si>
    <t xml:space="preserve">Hardware assembly + Ubuntu/vLLM/OpenWebUI config + model loading</t>
  </si>
  <si>
    <t xml:space="preserve">72-hour burn-in testing</t>
  </si>
  <si>
    <t xml:space="preserve">Electricity (~2kW x 72hrs) + technician monitoring time</t>
  </si>
  <si>
    <t xml:space="preserve">Packaging &amp; freight shipping</t>
  </si>
  <si>
    <t xml:space="preserve">4U server ~80-100lbs. LTL freight, custom crating, insurance</t>
  </si>
  <si>
    <t xml:space="preserve">TOTAL COST OF GOODS SOLD (per unit)</t>
  </si>
  <si>
    <t xml:space="preserve">SELLING PRICE (Starter Tier)</t>
  </si>
  <si>
    <t xml:space="preserve">GROSS PROFIT (per unit)</t>
  </si>
  <si>
    <t xml:space="preserve">GROSS MARGIN %</t>
  </si>
  <si>
    <t xml:space="preserve">GPU cost as % of total COGS</t>
  </si>
  <si>
    <t xml:space="preserve">KEY INSIGHT: GPUs represent ~80% of COGS. Margin lives and dies on GPU sourcing price. A $5,000 per-GPU cost reduction = $10,000 more margin per rack.</t>
  </si>
  <si>
    <t xml:space="preserve">Island Mountain LLC - P&amp;L Projections (24-Month)</t>
  </si>
  <si>
    <t xml:space="preserve">Three scenarios based on GPU sourcing cost and sales volume</t>
  </si>
  <si>
    <t xml:space="preserve">KEY ASSUMPTIONS</t>
  </si>
  <si>
    <t xml:space="preserve">Monthly operating expenses (overhead)</t>
  </si>
  <si>
    <t xml:space="preserve">Rent, utilities, insurance, tools, internet</t>
  </si>
  <si>
    <t xml:space="preserve">Monthly payroll (founder + 1 tech)</t>
  </si>
  <si>
    <t xml:space="preserve">Conservative: founder draw + PT technician</t>
  </si>
  <si>
    <t xml:space="preserve">Monthly marketing/sales</t>
  </si>
  <si>
    <t xml:space="preserve">SEO, LinkedIn, content, trade show travel</t>
  </si>
  <si>
    <t xml:space="preserve">Total monthly fixed costs</t>
  </si>
  <si>
    <t xml:space="preserve">Warranty reserve (% of revenue)</t>
  </si>
  <si>
    <t xml:space="preserve">3% set aside for warranty claims/returns</t>
  </si>
  <si>
    <t xml:space="preserve">SCENARIO PROJECTIONS</t>
  </si>
  <si>
    <t xml:space="preserve">Conservative</t>
  </si>
  <si>
    <t xml:space="preserve">Moderate</t>
  </si>
  <si>
    <t xml:space="preserve">Aggressive</t>
  </si>
  <si>
    <t xml:space="preserve">Metric</t>
  </si>
  <si>
    <t xml:space="preserve">Year 1</t>
  </si>
  <si>
    <t xml:space="preserve">Year 2</t>
  </si>
  <si>
    <t xml:space="preserve">Units sold</t>
  </si>
  <si>
    <t xml:space="preserve">Avg selling price</t>
  </si>
  <si>
    <t xml:space="preserve">Avg COGS per unit</t>
  </si>
  <si>
    <t xml:space="preserve">Revenue</t>
  </si>
  <si>
    <t xml:space="preserve">Total COGS</t>
  </si>
  <si>
    <t xml:space="preserve">Gross profit</t>
  </si>
  <si>
    <t xml:space="preserve">Gross margin %</t>
  </si>
  <si>
    <t xml:space="preserve">Fixed operating costs (annual)</t>
  </si>
  <si>
    <t xml:space="preserve">Warranty reserve</t>
  </si>
  <si>
    <t xml:space="preserve">NET OPERATING INCOME</t>
  </si>
  <si>
    <t xml:space="preserve">Net margin %</t>
  </si>
  <si>
    <t xml:space="preserve">BREAK-EVEN ANALYSIS</t>
  </si>
  <si>
    <t xml:space="preserve">Annual fixed costs</t>
  </si>
  <si>
    <t xml:space="preserve">Contribution margin/unit (moderate | aggressive)</t>
  </si>
  <si>
    <t xml:space="preserve">Break-even units per year</t>
  </si>
  <si>
    <t xml:space="preserve">NOTE: Conservative Year 1 COGS of $84,278 exceeds low-end selling price of $75,000. This scenario assumes early builds at full market GPU prices before volume relationships are established. Margin improves as GPU sourcing matures.</t>
  </si>
  <si>
    <t xml:space="preserve">Island Mountain LLC - Capital Requirements &amp; Use of Funds</t>
  </si>
  <si>
    <t xml:space="preserve">Seed Round Analysis - May 2026</t>
  </si>
  <si>
    <t xml:space="preserve">USE OF FUNDS</t>
  </si>
  <si>
    <t xml:space="preserve">Amount</t>
  </si>
  <si>
    <t xml:space="preserve">Rationale</t>
  </si>
  <si>
    <t xml:space="preserve">GPU inventory (6x H100 80GB PCIe)</t>
  </si>
  <si>
    <t xml:space="preserve">First 3 Starter racks. 2 GPUs each at ~$33K market avg.</t>
  </si>
  <si>
    <t xml:space="preserve">Non-GPU components (3 builds)</t>
  </si>
  <si>
    <t xml:space="preserve">Chassis, CPU, RAM, NVMe, PSU, cables per BOM sheet</t>
  </si>
  <si>
    <t xml:space="preserve">Assembly facility setup</t>
  </si>
  <si>
    <t xml:space="preserve">Workbench, ESD equipment, test rigs, burn-in power circuits</t>
  </si>
  <si>
    <t xml:space="preserve">Operating runway (6 months)</t>
  </si>
  <si>
    <t xml:space="preserve">Monthly burn: $30K (payroll + overhead + marketing)</t>
  </si>
  <si>
    <t xml:space="preserve">Marketing &amp; sales launch</t>
  </si>
  <si>
    <t xml:space="preserve">Trade shows, LinkedIn campaigns, vertical-specific content</t>
  </si>
  <si>
    <t xml:space="preserve">Legal &amp; incorporation</t>
  </si>
  <si>
    <t xml:space="preserve">LLC operating agreement, warranty terms, insurance, contracts</t>
  </si>
  <si>
    <t xml:space="preserve">Working capital reserve</t>
  </si>
  <si>
    <t xml:space="preserve">Buffer for component price volatility and unexpected costs</t>
  </si>
  <si>
    <t xml:space="preserve">TOTAL RAISE</t>
  </si>
  <si>
    <t xml:space="preserve">MILESTONE TIMELINE</t>
  </si>
  <si>
    <t xml:space="preserve">Target Date</t>
  </si>
  <si>
    <t xml:space="preserve">Deliverable</t>
  </si>
  <si>
    <t xml:space="preserve">Close seed round</t>
  </si>
  <si>
    <t xml:space="preserve">Q3 2026</t>
  </si>
  <si>
    <t xml:space="preserve">Capital secured, LLC formalized, accounts funded</t>
  </si>
  <si>
    <t xml:space="preserve">Facility operational</t>
  </si>
  <si>
    <t xml:space="preserve">Q3 2026 + 4 weeks</t>
  </si>
  <si>
    <t xml:space="preserve">Assembly workspace, ESD stations, burn-in power installed</t>
  </si>
  <si>
    <t xml:space="preserve">First GPU procurement</t>
  </si>
  <si>
    <t xml:space="preserve">Q3 2026 + 6 weeks</t>
  </si>
  <si>
    <t xml:space="preserve">6x H100 80GB PCIe sourced, inspected, received</t>
  </si>
  <si>
    <t xml:space="preserve">First Starter rack built</t>
  </si>
  <si>
    <t xml:space="preserve">Q3 2026 + 10 weeks</t>
  </si>
  <si>
    <t xml:space="preserve">Unit #1 assembled, configured, burn-in started</t>
  </si>
  <si>
    <t xml:space="preserve">First unit ships</t>
  </si>
  <si>
    <t xml:space="preserve">Q4 2026</t>
  </si>
  <si>
    <t xml:space="preserve">Rack #1 delivered to paying customer</t>
  </si>
  <si>
    <t xml:space="preserve">3 units shipped</t>
  </si>
  <si>
    <t xml:space="preserve">Q1 2027</t>
  </si>
  <si>
    <t xml:space="preserve">Initial inventory sold, revenue validates model</t>
  </si>
  <si>
    <t xml:space="preserve">Break-even month</t>
  </si>
  <si>
    <t xml:space="preserve">Q2 2027</t>
  </si>
  <si>
    <t xml:space="preserve">Monthly revenue covers monthly operating costs</t>
  </si>
  <si>
    <t xml:space="preserve">Series A readiness</t>
  </si>
  <si>
    <t xml:space="preserve">Q4 2027</t>
  </si>
  <si>
    <t xml:space="preserve">10+ units shipped, customer references, repeat orders</t>
  </si>
  <si>
    <t xml:space="preserve">RECOMMENDED INSTRUMENT</t>
  </si>
  <si>
    <t xml:space="preserve">Instrument</t>
  </si>
  <si>
    <t xml:space="preserve">SAFE (Simple Agreement for Future Equity)</t>
  </si>
  <si>
    <t xml:space="preserve">Valuation cap</t>
  </si>
  <si>
    <t xml:space="preserve">Pre-money. Conservative for pre-revenue hardware startup.</t>
  </si>
  <si>
    <t xml:space="preserve">Discount rate</t>
  </si>
  <si>
    <t xml:space="preserve">Standard 20% discount to next priced round</t>
  </si>
  <si>
    <t xml:space="preserve">Target raise</t>
  </si>
  <si>
    <t xml:space="preserve">Minimum check size</t>
  </si>
  <si>
    <t xml:space="preserve">Pro-forma ownership at cap (seed investors)</t>
  </si>
  <si>
    <t xml:space="preserve">INVESTOR ROI SCENARIOS (24-month exit/priced round)</t>
  </si>
  <si>
    <t xml:space="preserve">If Series A at $5M pre-money valuation</t>
  </si>
  <si>
    <t xml:space="preserve">Return on seed investment at 2x valuation step-up</t>
  </si>
  <si>
    <t xml:space="preserve">If Series A at $10M pre-money valuation</t>
  </si>
  <si>
    <t xml:space="preserve">Return on seed investment at 4x valuation step-up</t>
  </si>
  <si>
    <t xml:space="preserve">Multiple on invested capital (at $10M)</t>
  </si>
  <si>
    <t xml:space="preserve">WHY INVEST NOW</t>
  </si>
  <si>
    <t xml:space="preserve">1. Used H100 prices are dropping as hyperscalers upgrade to Blackwell (B200). Window to build inventory at 40-60% below new MSRP.</t>
  </si>
  <si>
    <t xml:space="preserve">2. Regulated industries (HIPAA, ITAR, attorney-client) legally cannot use cloud AI. TAM is mandatory spend, not discretionary.</t>
  </si>
  <si>
    <t xml:space="preserve">3. No competitor is building pre-configured, burn-tested racks for the mid-market. Enterprise vendors sell $1M+ clusters. Island Mountain fills the gap.</t>
  </si>
  <si>
    <t xml:space="preserve">4. First-mover in the "turnkey local AI" category for regulated verticals. Brand and vertical expertise compound over time.</t>
  </si>
  <si>
    <t xml:space="preserve">5. Capital-efficient model: one-time hardware sale, no recurring infrastructure costs, no cloud compute burn.</t>
  </si>
  <si>
    <t xml:space="preserve">NVIDIA H100 80GB PCIe - Market Price Index (May 2026)</t>
  </si>
  <si>
    <t xml:space="preserve">Source</t>
  </si>
  <si>
    <t xml:space="preserve">Price (USD)</t>
  </si>
  <si>
    <t xml:space="preserve">Condition</t>
  </si>
  <si>
    <t xml:space="preserve">Qty</t>
  </si>
  <si>
    <t xml:space="preserve">Notes</t>
  </si>
  <si>
    <t xml:space="preserve">ASA Computers</t>
  </si>
  <si>
    <t xml:space="preserve">New</t>
  </si>
  <si>
    <t xml:space="preserve">Direct retail, asacomputers.com</t>
  </si>
  <si>
    <t xml:space="preserve">IT Creations</t>
  </si>
  <si>
    <t xml:space="preserve">Refurbished</t>
  </si>
  <si>
    <t xml:space="preserve">HP variant, dual-slot, itcreations.com</t>
  </si>
  <si>
    <t xml:space="preserve">IT Creations (alt)</t>
  </si>
  <si>
    <t xml:space="preserve">GPU Poet Apr 2026 avg</t>
  </si>
  <si>
    <t xml:space="preserve">Mixed</t>
  </si>
  <si>
    <t xml:space="preserve">n/a</t>
  </si>
  <si>
    <t xml:space="preserve">Marketplace average, gpupoet.com</t>
  </si>
  <si>
    <t xml:space="preserve">ThunderCompute May 2026</t>
  </si>
  <si>
    <t xml:space="preserve">Marketplace low across 6 listings</t>
  </si>
  <si>
    <t xml:space="preserve">Industry refurb estimate (low)</t>
  </si>
  <si>
    <t xml:space="preserve">4+</t>
  </si>
  <si>
    <t xml:space="preserve">Bulk pricing estimate, enterprise channels</t>
  </si>
  <si>
    <t xml:space="preserve">Industry refurb estimate (high)</t>
  </si>
  <si>
    <t xml:space="preserve">AVERAGE (all data points)</t>
  </si>
  <si>
    <t xml:space="preserve">AVERAGE (refurbished only)</t>
  </si>
  <si>
    <t xml:space="preserve">COST FOR 2x GPUs (refurb avg)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</si>
</sst>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.0%"/>
    <numFmt numFmtId="167" formatCode="\$#,##0"/>
    <numFmt numFmtId="168" formatCode="0.0\x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B4530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B45309"/>
      <name val="Arial"/>
      <family val="0"/>
      <charset val="1"/>
    </font>
    <font>
      <b val="true"/>
      <sz val="9"/>
      <color rgb="FFDC2626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293B"/>
        <bgColor rgb="FF003366"/>
      </patternFill>
    </fill>
    <fill>
      <patternFill patternType="solid">
        <fgColor rgb="FFFEF3C7"/>
        <bgColor rgb="FFFFFF99"/>
      </patternFill>
    </fill>
    <fill>
      <patternFill patternType="solid">
        <fgColor rgb="FF334155"/>
        <bgColor rgb="FF475569"/>
      </patternFill>
    </fill>
    <fill>
      <patternFill patternType="solid">
        <fgColor rgb="FF475569"/>
        <bgColor rgb="FF334155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E293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475569"/>
      <rgbColor rgb="FFB45309"/>
      <rgbColor rgb="FF993366"/>
      <rgbColor rgb="FF33415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5"/>
    <col collapsed="false" customWidth="true" hidden="false" outlineLevel="0" max="5" min="2" style="1" width="18"/>
    <col collapsed="false" customWidth="true" hidden="false" outlineLevel="0" max="6" min="6" style="1" width="45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5" hidden="false" customHeight="true" outlineLevel="0" collapsed="false">
      <c r="A5" s="5" t="s">
        <v>8</v>
      </c>
      <c r="B5" s="6" t="n">
        <v>48000</v>
      </c>
      <c r="C5" s="6" t="n">
        <v>66000</v>
      </c>
      <c r="D5" s="6" t="n">
        <v>71340</v>
      </c>
      <c r="E5" s="7" t="n">
        <f aca="false">C5</f>
        <v>66000</v>
      </c>
      <c r="F5" s="8" t="s">
        <v>9</v>
      </c>
    </row>
    <row r="6" customFormat="false" ht="15" hidden="false" customHeight="true" outlineLevel="0" collapsed="false">
      <c r="A6" s="5" t="s">
        <v>10</v>
      </c>
      <c r="B6" s="6" t="n">
        <v>460</v>
      </c>
      <c r="C6" s="6" t="n">
        <v>1375</v>
      </c>
      <c r="D6" s="6" t="n">
        <v>2050</v>
      </c>
      <c r="E6" s="7" t="n">
        <f aca="false">C6</f>
        <v>1375</v>
      </c>
      <c r="F6" s="8" t="s">
        <v>11</v>
      </c>
    </row>
    <row r="7" customFormat="false" ht="15" hidden="false" customHeight="true" outlineLevel="0" collapsed="false">
      <c r="A7" s="5" t="s">
        <v>12</v>
      </c>
      <c r="B7" s="6" t="n">
        <v>4400</v>
      </c>
      <c r="C7" s="6" t="n">
        <v>7987</v>
      </c>
      <c r="D7" s="6" t="n">
        <v>14615</v>
      </c>
      <c r="E7" s="7" t="n">
        <f aca="false">C7</f>
        <v>7987</v>
      </c>
      <c r="F7" s="8" t="s">
        <v>13</v>
      </c>
    </row>
    <row r="8" customFormat="false" ht="15" hidden="false" customHeight="true" outlineLevel="0" collapsed="false">
      <c r="A8" s="5" t="s">
        <v>14</v>
      </c>
      <c r="B8" s="6" t="n">
        <v>1655</v>
      </c>
      <c r="C8" s="6" t="n">
        <v>4000</v>
      </c>
      <c r="D8" s="6" t="n">
        <v>7600</v>
      </c>
      <c r="E8" s="7" t="n">
        <f aca="false">C8</f>
        <v>4000</v>
      </c>
      <c r="F8" s="8" t="s">
        <v>15</v>
      </c>
    </row>
    <row r="9" customFormat="false" ht="15" hidden="false" customHeight="true" outlineLevel="0" collapsed="false">
      <c r="A9" s="5" t="s">
        <v>16</v>
      </c>
      <c r="B9" s="6" t="n">
        <v>215</v>
      </c>
      <c r="C9" s="6" t="n">
        <v>552</v>
      </c>
      <c r="D9" s="6" t="n">
        <v>1675</v>
      </c>
      <c r="E9" s="7" t="n">
        <f aca="false">C9</f>
        <v>552</v>
      </c>
      <c r="F9" s="8" t="s">
        <v>17</v>
      </c>
    </row>
    <row r="10" customFormat="false" ht="15" hidden="false" customHeight="true" outlineLevel="0" collapsed="false">
      <c r="A10" s="5" t="s">
        <v>18</v>
      </c>
      <c r="B10" s="6" t="n">
        <v>228</v>
      </c>
      <c r="C10" s="6" t="n">
        <v>839</v>
      </c>
      <c r="D10" s="6" t="n">
        <v>1074</v>
      </c>
      <c r="E10" s="7" t="n">
        <f aca="false">C10</f>
        <v>839</v>
      </c>
      <c r="F10" s="8" t="s">
        <v>19</v>
      </c>
    </row>
    <row r="11" customFormat="false" ht="15" hidden="false" customHeight="true" outlineLevel="0" collapsed="false">
      <c r="A11" s="5" t="s">
        <v>20</v>
      </c>
      <c r="B11" s="6" t="n">
        <v>0</v>
      </c>
      <c r="C11" s="6" t="n">
        <v>475</v>
      </c>
      <c r="D11" s="6" t="n">
        <v>950</v>
      </c>
      <c r="E11" s="7" t="n">
        <f aca="false">C11</f>
        <v>475</v>
      </c>
      <c r="F11" s="8" t="s">
        <v>21</v>
      </c>
    </row>
    <row r="12" customFormat="false" ht="15" hidden="false" customHeight="true" outlineLevel="0" collapsed="false">
      <c r="A12" s="5" t="s">
        <v>22</v>
      </c>
      <c r="B12" s="6" t="n">
        <v>150</v>
      </c>
      <c r="C12" s="6" t="n">
        <v>300</v>
      </c>
      <c r="D12" s="6" t="n">
        <v>500</v>
      </c>
      <c r="E12" s="7" t="n">
        <f aca="false">C12</f>
        <v>300</v>
      </c>
      <c r="F12" s="8" t="s">
        <v>23</v>
      </c>
    </row>
    <row r="13" customFormat="false" ht="15" hidden="false" customHeight="true" outlineLevel="0" collapsed="false">
      <c r="A13" s="5" t="s">
        <v>24</v>
      </c>
      <c r="B13" s="6" t="n">
        <v>1000</v>
      </c>
      <c r="C13" s="6" t="n">
        <v>1500</v>
      </c>
      <c r="D13" s="6" t="n">
        <v>2500</v>
      </c>
      <c r="E13" s="7" t="n">
        <f aca="false">C13</f>
        <v>1500</v>
      </c>
      <c r="F13" s="8" t="s">
        <v>25</v>
      </c>
    </row>
    <row r="14" customFormat="false" ht="15" hidden="false" customHeight="true" outlineLevel="0" collapsed="false">
      <c r="A14" s="5" t="s">
        <v>26</v>
      </c>
      <c r="B14" s="6" t="n">
        <v>300</v>
      </c>
      <c r="C14" s="6" t="n">
        <v>500</v>
      </c>
      <c r="D14" s="6" t="n">
        <v>1000</v>
      </c>
      <c r="E14" s="7" t="n">
        <f aca="false">C14</f>
        <v>500</v>
      </c>
      <c r="F14" s="8" t="s">
        <v>27</v>
      </c>
    </row>
    <row r="15" customFormat="false" ht="15" hidden="false" customHeight="true" outlineLevel="0" collapsed="false">
      <c r="A15" s="5" t="s">
        <v>28</v>
      </c>
      <c r="B15" s="6" t="n">
        <v>400</v>
      </c>
      <c r="C15" s="6" t="n">
        <v>750</v>
      </c>
      <c r="D15" s="6" t="n">
        <v>1500</v>
      </c>
      <c r="E15" s="7" t="n">
        <f aca="false">C15</f>
        <v>750</v>
      </c>
      <c r="F15" s="8" t="s">
        <v>29</v>
      </c>
    </row>
    <row r="17" customFormat="false" ht="15" hidden="false" customHeight="true" outlineLevel="0" collapsed="false">
      <c r="A17" s="9" t="s">
        <v>30</v>
      </c>
      <c r="B17" s="10" t="n">
        <f aca="false">SUM(B5:B15)</f>
        <v>56808</v>
      </c>
      <c r="C17" s="10" t="n">
        <f aca="false">SUM(C5:C15)</f>
        <v>84278</v>
      </c>
      <c r="D17" s="10" t="n">
        <f aca="false">SUM(D5:D15)</f>
        <v>104804</v>
      </c>
      <c r="E17" s="10" t="n">
        <f aca="false">SUM(E5:E15)</f>
        <v>84278</v>
      </c>
    </row>
    <row r="19" customFormat="false" ht="15" hidden="false" customHeight="true" outlineLevel="0" collapsed="false">
      <c r="A19" s="11" t="s">
        <v>31</v>
      </c>
      <c r="B19" s="12" t="n">
        <v>75000</v>
      </c>
      <c r="C19" s="12" t="n">
        <v>80000</v>
      </c>
      <c r="D19" s="12" t="n">
        <v>85000</v>
      </c>
      <c r="E19" s="12" t="n">
        <v>80000</v>
      </c>
    </row>
    <row r="20" customFormat="false" ht="15" hidden="false" customHeight="true" outlineLevel="0" collapsed="false">
      <c r="A20" s="9" t="s">
        <v>32</v>
      </c>
      <c r="B20" s="13" t="n">
        <f aca="false">B19-B17</f>
        <v>18192</v>
      </c>
      <c r="C20" s="13" t="n">
        <f aca="false">C19-C17</f>
        <v>-4278</v>
      </c>
      <c r="D20" s="13" t="n">
        <f aca="false">D19-D17</f>
        <v>-19804</v>
      </c>
      <c r="E20" s="13" t="n">
        <f aca="false">E19-E17</f>
        <v>-4278</v>
      </c>
    </row>
    <row r="21" customFormat="false" ht="15" hidden="false" customHeight="true" outlineLevel="0" collapsed="false">
      <c r="A21" s="9" t="s">
        <v>33</v>
      </c>
      <c r="B21" s="14" t="n">
        <f aca="false">B20/B19</f>
        <v>0.24256</v>
      </c>
      <c r="C21" s="14" t="n">
        <f aca="false">C20/C19</f>
        <v>-0.053475</v>
      </c>
      <c r="D21" s="14" t="n">
        <f aca="false">D20/D19</f>
        <v>-0.232988235294118</v>
      </c>
      <c r="E21" s="14" t="n">
        <f aca="false">E20/E19</f>
        <v>-0.053475</v>
      </c>
    </row>
    <row r="23" customFormat="false" ht="15" hidden="false" customHeight="true" outlineLevel="0" collapsed="false">
      <c r="A23" s="5" t="s">
        <v>34</v>
      </c>
      <c r="B23" s="15" t="n">
        <f aca="false">B5/B17</f>
        <v>0.844951415293621</v>
      </c>
      <c r="C23" s="15" t="n">
        <f aca="false">C5/C17</f>
        <v>0.783122523078384</v>
      </c>
      <c r="D23" s="15" t="n">
        <f aca="false">D5/D17</f>
        <v>0.680699209953819</v>
      </c>
      <c r="E23" s="15" t="n">
        <f aca="false">E5/E17</f>
        <v>0.783122523078384</v>
      </c>
    </row>
    <row r="25" customFormat="false" ht="15" hidden="false" customHeight="true" outlineLevel="0" collapsed="false">
      <c r="A25" s="16" t="s">
        <v>35</v>
      </c>
      <c r="B25" s="16"/>
      <c r="C25" s="16"/>
      <c r="D25" s="16"/>
      <c r="E25" s="16"/>
      <c r="F25" s="16"/>
    </row>
  </sheetData>
  <mergeCells count="3">
    <mergeCell ref="A1:F1"/>
    <mergeCell ref="A2:F2"/>
    <mergeCell ref="A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5"/>
    <col collapsed="false" customWidth="true" hidden="false" outlineLevel="0" max="7" min="2" style="1" width="16"/>
  </cols>
  <sheetData>
    <row r="1" customFormat="false" ht="17.25" hidden="false" customHeight="true" outlineLevel="0" collapsed="false">
      <c r="A1" s="2" t="s">
        <v>36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37</v>
      </c>
      <c r="B2" s="3"/>
      <c r="C2" s="3"/>
      <c r="D2" s="3"/>
      <c r="E2" s="3"/>
      <c r="F2" s="3"/>
      <c r="G2" s="3"/>
    </row>
    <row r="4" customFormat="false" ht="15" hidden="false" customHeight="true" outlineLevel="0" collapsed="false">
      <c r="A4" s="17" t="s">
        <v>38</v>
      </c>
      <c r="B4" s="17"/>
      <c r="C4" s="17"/>
    </row>
    <row r="5" customFormat="false" ht="15" hidden="false" customHeight="true" outlineLevel="0" collapsed="false">
      <c r="A5" s="5" t="s">
        <v>39</v>
      </c>
      <c r="B5" s="6" t="n">
        <v>15000</v>
      </c>
      <c r="C5" s="8" t="s">
        <v>40</v>
      </c>
    </row>
    <row r="6" customFormat="false" ht="15" hidden="false" customHeight="true" outlineLevel="0" collapsed="false">
      <c r="A6" s="5" t="s">
        <v>41</v>
      </c>
      <c r="B6" s="6" t="n">
        <v>12000</v>
      </c>
      <c r="C6" s="8" t="s">
        <v>42</v>
      </c>
    </row>
    <row r="7" customFormat="false" ht="15" hidden="false" customHeight="true" outlineLevel="0" collapsed="false">
      <c r="A7" s="5" t="s">
        <v>43</v>
      </c>
      <c r="B7" s="6" t="n">
        <v>3000</v>
      </c>
      <c r="C7" s="8" t="s">
        <v>44</v>
      </c>
    </row>
    <row r="8" customFormat="false" ht="15" hidden="false" customHeight="true" outlineLevel="0" collapsed="false">
      <c r="A8" s="18" t="s">
        <v>45</v>
      </c>
      <c r="B8" s="19" t="n">
        <f aca="false">SUM(B5:B7)</f>
        <v>30000</v>
      </c>
    </row>
    <row r="9" customFormat="false" ht="15" hidden="false" customHeight="true" outlineLevel="0" collapsed="false">
      <c r="A9" s="5" t="s">
        <v>46</v>
      </c>
      <c r="B9" s="20" t="n">
        <v>0.03</v>
      </c>
      <c r="C9" s="8" t="s">
        <v>47</v>
      </c>
    </row>
    <row r="11" customFormat="false" ht="15" hidden="false" customHeight="true" outlineLevel="0" collapsed="false">
      <c r="A11" s="17" t="s">
        <v>48</v>
      </c>
      <c r="B11" s="17"/>
      <c r="C11" s="17"/>
      <c r="D11" s="17"/>
      <c r="E11" s="17"/>
      <c r="F11" s="17"/>
      <c r="G11" s="17"/>
    </row>
    <row r="12" customFormat="false" ht="15" hidden="false" customHeight="true" outlineLevel="0" collapsed="false">
      <c r="A12" s="21"/>
      <c r="B12" s="21" t="s">
        <v>49</v>
      </c>
      <c r="C12" s="21"/>
      <c r="D12" s="21" t="s">
        <v>50</v>
      </c>
      <c r="E12" s="21"/>
      <c r="F12" s="21" t="s">
        <v>51</v>
      </c>
      <c r="G12" s="21"/>
    </row>
    <row r="13" customFormat="false" ht="15" hidden="false" customHeight="true" outlineLevel="0" collapsed="false">
      <c r="A13" s="22" t="s">
        <v>52</v>
      </c>
      <c r="B13" s="22" t="s">
        <v>53</v>
      </c>
      <c r="C13" s="22" t="s">
        <v>54</v>
      </c>
      <c r="D13" s="22" t="s">
        <v>53</v>
      </c>
      <c r="E13" s="22" t="s">
        <v>54</v>
      </c>
      <c r="F13" s="22" t="s">
        <v>53</v>
      </c>
      <c r="G13" s="22" t="s">
        <v>54</v>
      </c>
    </row>
    <row r="14" customFormat="false" ht="15" hidden="false" customHeight="true" outlineLevel="0" collapsed="false">
      <c r="A14" s="5" t="s">
        <v>55</v>
      </c>
      <c r="B14" s="23" t="n">
        <v>3</v>
      </c>
      <c r="C14" s="23" t="n">
        <v>8</v>
      </c>
      <c r="D14" s="23" t="n">
        <v>6</v>
      </c>
      <c r="E14" s="23" t="n">
        <v>15</v>
      </c>
      <c r="F14" s="23" t="n">
        <v>10</v>
      </c>
      <c r="G14" s="23" t="n">
        <v>24</v>
      </c>
    </row>
    <row r="15" customFormat="false" ht="15" hidden="false" customHeight="true" outlineLevel="0" collapsed="false">
      <c r="A15" s="5" t="s">
        <v>56</v>
      </c>
      <c r="B15" s="6" t="n">
        <v>75000</v>
      </c>
      <c r="C15" s="6" t="n">
        <v>78000</v>
      </c>
      <c r="D15" s="6" t="n">
        <v>80000</v>
      </c>
      <c r="E15" s="6" t="n">
        <v>80000</v>
      </c>
      <c r="F15" s="6" t="n">
        <v>82000</v>
      </c>
      <c r="G15" s="6" t="n">
        <v>82000</v>
      </c>
    </row>
    <row r="16" customFormat="false" ht="15" hidden="false" customHeight="true" outlineLevel="0" collapsed="false">
      <c r="A16" s="5" t="s">
        <v>57</v>
      </c>
      <c r="B16" s="6" t="n">
        <v>84278</v>
      </c>
      <c r="C16" s="6" t="n">
        <v>78000</v>
      </c>
      <c r="D16" s="6" t="n">
        <v>78000</v>
      </c>
      <c r="E16" s="6" t="n">
        <v>72000</v>
      </c>
      <c r="F16" s="6" t="n">
        <v>72000</v>
      </c>
      <c r="G16" s="6" t="n">
        <v>66000</v>
      </c>
    </row>
    <row r="17" customFormat="false" ht="15" hidden="false" customHeight="true" outlineLevel="0" collapsed="false">
      <c r="A17" s="18" t="s">
        <v>58</v>
      </c>
      <c r="B17" s="24" t="n">
        <f aca="false">B14*B15</f>
        <v>225000</v>
      </c>
      <c r="C17" s="24" t="n">
        <f aca="false">C14*C15</f>
        <v>624000</v>
      </c>
      <c r="D17" s="24" t="n">
        <f aca="false">D14*D15</f>
        <v>480000</v>
      </c>
      <c r="E17" s="24" t="n">
        <f aca="false">E14*E15</f>
        <v>1200000</v>
      </c>
      <c r="F17" s="24" t="n">
        <f aca="false">F14*F15</f>
        <v>820000</v>
      </c>
      <c r="G17" s="24" t="n">
        <f aca="false">G14*G15</f>
        <v>1968000</v>
      </c>
    </row>
    <row r="18" customFormat="false" ht="15" hidden="false" customHeight="true" outlineLevel="0" collapsed="false">
      <c r="A18" s="5" t="s">
        <v>59</v>
      </c>
      <c r="B18" s="7" t="n">
        <f aca="false">B14*B16</f>
        <v>252834</v>
      </c>
      <c r="C18" s="7" t="n">
        <f aca="false">C14*C16</f>
        <v>624000</v>
      </c>
      <c r="D18" s="7" t="n">
        <f aca="false">D14*D16</f>
        <v>468000</v>
      </c>
      <c r="E18" s="7" t="n">
        <f aca="false">E14*E16</f>
        <v>1080000</v>
      </c>
      <c r="F18" s="7" t="n">
        <f aca="false">F14*F16</f>
        <v>720000</v>
      </c>
      <c r="G18" s="7" t="n">
        <f aca="false">G14*G16</f>
        <v>1584000</v>
      </c>
    </row>
    <row r="19" customFormat="false" ht="15" hidden="false" customHeight="true" outlineLevel="0" collapsed="false">
      <c r="A19" s="5" t="s">
        <v>60</v>
      </c>
      <c r="B19" s="7" t="n">
        <f aca="false">B17-B18</f>
        <v>-27834</v>
      </c>
      <c r="C19" s="7" t="n">
        <f aca="false">C17-C18</f>
        <v>0</v>
      </c>
      <c r="D19" s="7" t="n">
        <f aca="false">D17-D18</f>
        <v>12000</v>
      </c>
      <c r="E19" s="7" t="n">
        <f aca="false">E17-E18</f>
        <v>120000</v>
      </c>
      <c r="F19" s="7" t="n">
        <f aca="false">F17-F18</f>
        <v>100000</v>
      </c>
      <c r="G19" s="7" t="n">
        <f aca="false">G17-G18</f>
        <v>384000</v>
      </c>
    </row>
    <row r="20" customFormat="false" ht="15" hidden="false" customHeight="true" outlineLevel="0" collapsed="false">
      <c r="A20" s="5" t="s">
        <v>61</v>
      </c>
      <c r="B20" s="15" t="n">
        <f aca="false">IF(B17=0,0,B19/B17)</f>
        <v>-0.123706666666667</v>
      </c>
      <c r="C20" s="15" t="n">
        <f aca="false">IF(C17=0,0,C19/C17)</f>
        <v>0</v>
      </c>
      <c r="D20" s="15" t="n">
        <f aca="false">IF(D17=0,0,D19/D17)</f>
        <v>0.025</v>
      </c>
      <c r="E20" s="15" t="n">
        <f aca="false">IF(E17=0,0,E19/E17)</f>
        <v>0.1</v>
      </c>
      <c r="F20" s="15" t="n">
        <f aca="false">IF(F17=0,0,F19/F17)</f>
        <v>0.121951219512195</v>
      </c>
      <c r="G20" s="15" t="n">
        <f aca="false">IF(G17=0,0,G19/G17)</f>
        <v>0.195121951219512</v>
      </c>
    </row>
    <row r="21" customFormat="false" ht="15" hidden="false" customHeight="true" outlineLevel="0" collapsed="false">
      <c r="A21" s="5" t="s">
        <v>62</v>
      </c>
      <c r="B21" s="7" t="n">
        <f aca="false">$B$8*12</f>
        <v>360000</v>
      </c>
      <c r="C21" s="7" t="n">
        <f aca="false">$B$8*12</f>
        <v>360000</v>
      </c>
      <c r="D21" s="7" t="n">
        <f aca="false">$B$8*12</f>
        <v>360000</v>
      </c>
      <c r="E21" s="7" t="n">
        <f aca="false">$B$8*12</f>
        <v>360000</v>
      </c>
      <c r="F21" s="7" t="n">
        <f aca="false">$B$8*12</f>
        <v>360000</v>
      </c>
      <c r="G21" s="7" t="n">
        <f aca="false">$B$8*12</f>
        <v>360000</v>
      </c>
    </row>
    <row r="22" customFormat="false" ht="15" hidden="false" customHeight="true" outlineLevel="0" collapsed="false">
      <c r="A22" s="5" t="s">
        <v>63</v>
      </c>
      <c r="B22" s="7" t="n">
        <f aca="false">B17*$B$9</f>
        <v>6750</v>
      </c>
      <c r="C22" s="7" t="n">
        <f aca="false">C17*$B$9</f>
        <v>18720</v>
      </c>
      <c r="D22" s="7" t="n">
        <f aca="false">D17*$B$9</f>
        <v>14400</v>
      </c>
      <c r="E22" s="7" t="n">
        <f aca="false">E17*$B$9</f>
        <v>36000</v>
      </c>
      <c r="F22" s="7" t="n">
        <f aca="false">F17*$B$9</f>
        <v>24600</v>
      </c>
      <c r="G22" s="7" t="n">
        <f aca="false">G17*$B$9</f>
        <v>59040</v>
      </c>
    </row>
    <row r="23" customFormat="false" ht="15" hidden="false" customHeight="true" outlineLevel="0" collapsed="false">
      <c r="A23" s="9" t="s">
        <v>64</v>
      </c>
      <c r="B23" s="10" t="n">
        <f aca="false">B19-B21-B22</f>
        <v>-394584</v>
      </c>
      <c r="C23" s="10" t="n">
        <f aca="false">C19-C21-C22</f>
        <v>-378720</v>
      </c>
      <c r="D23" s="10" t="n">
        <f aca="false">D19-D21-D22</f>
        <v>-362400</v>
      </c>
      <c r="E23" s="10" t="n">
        <f aca="false">E19-E21-E22</f>
        <v>-276000</v>
      </c>
      <c r="F23" s="10" t="n">
        <f aca="false">F19-F21-F22</f>
        <v>-284600</v>
      </c>
      <c r="G23" s="10" t="n">
        <f aca="false">G19-G21-G22</f>
        <v>-35040</v>
      </c>
    </row>
    <row r="24" customFormat="false" ht="15" hidden="false" customHeight="true" outlineLevel="0" collapsed="false">
      <c r="A24" s="5" t="s">
        <v>65</v>
      </c>
      <c r="B24" s="15" t="n">
        <f aca="false">IF(B17=0,0,B23/B17)</f>
        <v>-1.75370666666667</v>
      </c>
      <c r="C24" s="15" t="n">
        <f aca="false">IF(C17=0,0,C23/C17)</f>
        <v>-0.606923076923077</v>
      </c>
      <c r="D24" s="15" t="n">
        <f aca="false">IF(D17=0,0,D23/D17)</f>
        <v>-0.755</v>
      </c>
      <c r="E24" s="15" t="n">
        <f aca="false">IF(E17=0,0,E23/E17)</f>
        <v>-0.23</v>
      </c>
      <c r="F24" s="15" t="n">
        <f aca="false">IF(F17=0,0,F23/F17)</f>
        <v>-0.347073170731707</v>
      </c>
      <c r="G24" s="15" t="n">
        <f aca="false">IF(G17=0,0,G23/G17)</f>
        <v>-0.0178048780487805</v>
      </c>
    </row>
    <row r="26" customFormat="false" ht="15" hidden="false" customHeight="true" outlineLevel="0" collapsed="false">
      <c r="A26" s="17" t="s">
        <v>66</v>
      </c>
      <c r="B26" s="17"/>
      <c r="C26" s="17"/>
      <c r="D26" s="17"/>
      <c r="E26" s="17"/>
      <c r="F26" s="17"/>
      <c r="G26" s="17"/>
    </row>
    <row r="27" customFormat="false" ht="15" hidden="false" customHeight="true" outlineLevel="0" collapsed="false">
      <c r="A27" s="5" t="s">
        <v>67</v>
      </c>
      <c r="B27" s="7" t="n">
        <f aca="false">$B$8*12</f>
        <v>360000</v>
      </c>
    </row>
    <row r="28" customFormat="false" ht="15" hidden="false" customHeight="true" outlineLevel="0" collapsed="false">
      <c r="A28" s="5" t="s">
        <v>68</v>
      </c>
      <c r="B28" s="7" t="n">
        <f aca="false">D15-D16</f>
        <v>2000</v>
      </c>
      <c r="C28" s="25" t="n">
        <f aca="false">F15-F16</f>
        <v>10000</v>
      </c>
    </row>
    <row r="29" customFormat="false" ht="15" hidden="false" customHeight="true" outlineLevel="0" collapsed="false">
      <c r="A29" s="9" t="s">
        <v>69</v>
      </c>
      <c r="B29" s="26" t="n">
        <f aca="false">IF(B28&gt;0,CEILING(B27/B28,1),"N/A - Negative margin")</f>
        <v>180</v>
      </c>
      <c r="C29" s="27" t="n">
        <f aca="false">IF(C28&gt;0,CEILING(B27/C28,1),"N/A")</f>
        <v>36</v>
      </c>
    </row>
    <row r="31" customFormat="false" ht="15" hidden="false" customHeight="true" outlineLevel="0" collapsed="false">
      <c r="A31" s="28" t="s">
        <v>70</v>
      </c>
      <c r="B31" s="28"/>
      <c r="C31" s="28"/>
      <c r="D31" s="28"/>
      <c r="E31" s="28"/>
      <c r="F31" s="28"/>
      <c r="G31" s="28"/>
    </row>
  </sheetData>
  <mergeCells count="6">
    <mergeCell ref="A1:G1"/>
    <mergeCell ref="A2:G2"/>
    <mergeCell ref="A4:C4"/>
    <mergeCell ref="A11:G11"/>
    <mergeCell ref="A26:G26"/>
    <mergeCell ref="A31:G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0"/>
    <col collapsed="false" customWidth="true" hidden="false" outlineLevel="0" max="3" min="3" style="1" width="45"/>
  </cols>
  <sheetData>
    <row r="1" customFormat="false" ht="17.25" hidden="false" customHeight="true" outlineLevel="0" collapsed="false">
      <c r="A1" s="2" t="s">
        <v>71</v>
      </c>
      <c r="B1" s="2"/>
      <c r="C1" s="2"/>
    </row>
    <row r="2" customFormat="false" ht="15" hidden="false" customHeight="true" outlineLevel="0" collapsed="false">
      <c r="A2" s="3" t="s">
        <v>72</v>
      </c>
      <c r="B2" s="3"/>
      <c r="C2" s="3"/>
    </row>
    <row r="4" customFormat="false" ht="15" hidden="false" customHeight="true" outlineLevel="0" collapsed="false">
      <c r="A4" s="29" t="s">
        <v>73</v>
      </c>
      <c r="B4" s="29" t="s">
        <v>74</v>
      </c>
      <c r="C4" s="29" t="s">
        <v>75</v>
      </c>
    </row>
    <row r="5" customFormat="false" ht="15" hidden="false" customHeight="true" outlineLevel="0" collapsed="false">
      <c r="A5" s="5" t="s">
        <v>76</v>
      </c>
      <c r="B5" s="6" t="n">
        <v>198000</v>
      </c>
      <c r="C5" s="8" t="s">
        <v>77</v>
      </c>
    </row>
    <row r="6" customFormat="false" ht="15" hidden="false" customHeight="true" outlineLevel="0" collapsed="false">
      <c r="A6" s="5" t="s">
        <v>78</v>
      </c>
      <c r="B6" s="6" t="n">
        <v>45000</v>
      </c>
      <c r="C6" s="8" t="s">
        <v>79</v>
      </c>
    </row>
    <row r="7" customFormat="false" ht="15" hidden="false" customHeight="true" outlineLevel="0" collapsed="false">
      <c r="A7" s="5" t="s">
        <v>80</v>
      </c>
      <c r="B7" s="6" t="n">
        <v>25000</v>
      </c>
      <c r="C7" s="8" t="s">
        <v>81</v>
      </c>
    </row>
    <row r="8" customFormat="false" ht="15" hidden="false" customHeight="true" outlineLevel="0" collapsed="false">
      <c r="A8" s="5" t="s">
        <v>82</v>
      </c>
      <c r="B8" s="6" t="n">
        <v>180000</v>
      </c>
      <c r="C8" s="8" t="s">
        <v>83</v>
      </c>
    </row>
    <row r="9" customFormat="false" ht="15" hidden="false" customHeight="true" outlineLevel="0" collapsed="false">
      <c r="A9" s="5" t="s">
        <v>84</v>
      </c>
      <c r="B9" s="6" t="n">
        <v>20000</v>
      </c>
      <c r="C9" s="8" t="s">
        <v>85</v>
      </c>
    </row>
    <row r="10" customFormat="false" ht="15" hidden="false" customHeight="true" outlineLevel="0" collapsed="false">
      <c r="A10" s="5" t="s">
        <v>86</v>
      </c>
      <c r="B10" s="6" t="n">
        <v>10000</v>
      </c>
      <c r="C10" s="8" t="s">
        <v>87</v>
      </c>
    </row>
    <row r="11" customFormat="false" ht="15" hidden="false" customHeight="true" outlineLevel="0" collapsed="false">
      <c r="A11" s="5" t="s">
        <v>88</v>
      </c>
      <c r="B11" s="6" t="n">
        <v>22000</v>
      </c>
      <c r="C11" s="8" t="s">
        <v>89</v>
      </c>
    </row>
    <row r="13" customFormat="false" ht="15" hidden="false" customHeight="true" outlineLevel="0" collapsed="false">
      <c r="A13" s="30" t="s">
        <v>90</v>
      </c>
      <c r="B13" s="31" t="n">
        <f aca="false">SUM(B5:B11)</f>
        <v>500000</v>
      </c>
    </row>
    <row r="15" customFormat="false" ht="15" hidden="false" customHeight="true" outlineLevel="0" collapsed="false">
      <c r="A15" s="29" t="s">
        <v>91</v>
      </c>
      <c r="B15" s="29" t="s">
        <v>92</v>
      </c>
      <c r="C15" s="29" t="s">
        <v>93</v>
      </c>
    </row>
    <row r="16" customFormat="false" ht="15" hidden="false" customHeight="true" outlineLevel="0" collapsed="false">
      <c r="A16" s="5" t="s">
        <v>94</v>
      </c>
      <c r="B16" s="32" t="s">
        <v>95</v>
      </c>
      <c r="C16" s="8" t="s">
        <v>96</v>
      </c>
    </row>
    <row r="17" customFormat="false" ht="15" hidden="false" customHeight="true" outlineLevel="0" collapsed="false">
      <c r="A17" s="5" t="s">
        <v>97</v>
      </c>
      <c r="B17" s="32" t="s">
        <v>98</v>
      </c>
      <c r="C17" s="8" t="s">
        <v>99</v>
      </c>
    </row>
    <row r="18" customFormat="false" ht="15" hidden="false" customHeight="true" outlineLevel="0" collapsed="false">
      <c r="A18" s="5" t="s">
        <v>100</v>
      </c>
      <c r="B18" s="32" t="s">
        <v>101</v>
      </c>
      <c r="C18" s="8" t="s">
        <v>102</v>
      </c>
    </row>
    <row r="19" customFormat="false" ht="15" hidden="false" customHeight="true" outlineLevel="0" collapsed="false">
      <c r="A19" s="5" t="s">
        <v>103</v>
      </c>
      <c r="B19" s="32" t="s">
        <v>104</v>
      </c>
      <c r="C19" s="8" t="s">
        <v>105</v>
      </c>
    </row>
    <row r="20" customFormat="false" ht="15" hidden="false" customHeight="true" outlineLevel="0" collapsed="false">
      <c r="A20" s="5" t="s">
        <v>106</v>
      </c>
      <c r="B20" s="32" t="s">
        <v>107</v>
      </c>
      <c r="C20" s="8" t="s">
        <v>108</v>
      </c>
    </row>
    <row r="21" customFormat="false" ht="15" hidden="false" customHeight="true" outlineLevel="0" collapsed="false">
      <c r="A21" s="5" t="s">
        <v>109</v>
      </c>
      <c r="B21" s="32" t="s">
        <v>110</v>
      </c>
      <c r="C21" s="8" t="s">
        <v>111</v>
      </c>
    </row>
    <row r="22" customFormat="false" ht="15" hidden="false" customHeight="true" outlineLevel="0" collapsed="false">
      <c r="A22" s="5" t="s">
        <v>112</v>
      </c>
      <c r="B22" s="32" t="s">
        <v>113</v>
      </c>
      <c r="C22" s="8" t="s">
        <v>114</v>
      </c>
    </row>
    <row r="23" customFormat="false" ht="15" hidden="false" customHeight="true" outlineLevel="0" collapsed="false">
      <c r="A23" s="5" t="s">
        <v>115</v>
      </c>
      <c r="B23" s="32" t="s">
        <v>116</v>
      </c>
      <c r="C23" s="8" t="s">
        <v>117</v>
      </c>
    </row>
    <row r="25" customFormat="false" ht="15" hidden="false" customHeight="true" outlineLevel="0" collapsed="false">
      <c r="A25" s="17" t="s">
        <v>118</v>
      </c>
      <c r="B25" s="17"/>
      <c r="C25" s="17"/>
    </row>
    <row r="26" customFormat="false" ht="15" hidden="false" customHeight="true" outlineLevel="0" collapsed="false">
      <c r="A26" s="5" t="s">
        <v>119</v>
      </c>
      <c r="B26" s="18" t="s">
        <v>120</v>
      </c>
    </row>
    <row r="27" customFormat="false" ht="15" hidden="false" customHeight="true" outlineLevel="0" collapsed="false">
      <c r="A27" s="5" t="s">
        <v>121</v>
      </c>
      <c r="B27" s="6" t="n">
        <v>2500000</v>
      </c>
      <c r="C27" s="8" t="s">
        <v>122</v>
      </c>
    </row>
    <row r="28" customFormat="false" ht="15" hidden="false" customHeight="true" outlineLevel="0" collapsed="false">
      <c r="A28" s="5" t="s">
        <v>123</v>
      </c>
      <c r="B28" s="20" t="n">
        <v>0.2</v>
      </c>
      <c r="C28" s="8" t="s">
        <v>124</v>
      </c>
    </row>
    <row r="29" customFormat="false" ht="15" hidden="false" customHeight="true" outlineLevel="0" collapsed="false">
      <c r="A29" s="5" t="s">
        <v>125</v>
      </c>
      <c r="B29" s="33" t="n">
        <f aca="false">SUM(B5:B11)</f>
        <v>500000</v>
      </c>
    </row>
    <row r="30" customFormat="false" ht="15" hidden="false" customHeight="true" outlineLevel="0" collapsed="false">
      <c r="A30" s="5" t="s">
        <v>126</v>
      </c>
      <c r="B30" s="6" t="n">
        <v>25000</v>
      </c>
    </row>
    <row r="31" customFormat="false" ht="15" hidden="false" customHeight="true" outlineLevel="0" collapsed="false">
      <c r="A31" s="5" t="s">
        <v>127</v>
      </c>
      <c r="B31" s="15" t="n">
        <f aca="false">B29/(B27+B29)</f>
        <v>0.166666666666667</v>
      </c>
    </row>
    <row r="33" customFormat="false" ht="15" hidden="false" customHeight="true" outlineLevel="0" collapsed="false">
      <c r="A33" s="17" t="s">
        <v>128</v>
      </c>
      <c r="B33" s="17"/>
      <c r="C33" s="17"/>
    </row>
    <row r="34" customFormat="false" ht="15" hidden="false" customHeight="true" outlineLevel="0" collapsed="false">
      <c r="A34" s="5" t="s">
        <v>129</v>
      </c>
      <c r="B34" s="7" t="n">
        <f aca="false">B29*(5000000/B27)</f>
        <v>1000000</v>
      </c>
      <c r="C34" s="8" t="s">
        <v>130</v>
      </c>
    </row>
    <row r="35" customFormat="false" ht="15" hidden="false" customHeight="true" outlineLevel="0" collapsed="false">
      <c r="A35" s="5" t="s">
        <v>131</v>
      </c>
      <c r="B35" s="7" t="n">
        <f aca="false">B29*(10000000/B27)</f>
        <v>2000000</v>
      </c>
      <c r="C35" s="8" t="s">
        <v>132</v>
      </c>
    </row>
    <row r="36" customFormat="false" ht="15" hidden="false" customHeight="true" outlineLevel="0" collapsed="false">
      <c r="A36" s="18" t="s">
        <v>133</v>
      </c>
      <c r="B36" s="34" t="n">
        <f aca="false">B35/B29</f>
        <v>4</v>
      </c>
    </row>
    <row r="38" customFormat="false" ht="15" hidden="false" customHeight="true" outlineLevel="0" collapsed="false">
      <c r="A38" s="17" t="s">
        <v>134</v>
      </c>
      <c r="B38" s="17"/>
      <c r="C38" s="17"/>
    </row>
    <row r="39" customFormat="false" ht="15" hidden="false" customHeight="true" outlineLevel="0" collapsed="false">
      <c r="A39" s="35" t="s">
        <v>135</v>
      </c>
      <c r="B39" s="35"/>
      <c r="C39" s="35"/>
    </row>
    <row r="40" customFormat="false" ht="15" hidden="false" customHeight="true" outlineLevel="0" collapsed="false">
      <c r="A40" s="35" t="s">
        <v>136</v>
      </c>
      <c r="B40" s="35"/>
      <c r="C40" s="35"/>
    </row>
    <row r="41" customFormat="false" ht="15" hidden="false" customHeight="true" outlineLevel="0" collapsed="false">
      <c r="A41" s="35" t="s">
        <v>137</v>
      </c>
      <c r="B41" s="35"/>
      <c r="C41" s="35"/>
    </row>
    <row r="42" customFormat="false" ht="15" hidden="false" customHeight="true" outlineLevel="0" collapsed="false">
      <c r="A42" s="35" t="s">
        <v>138</v>
      </c>
      <c r="B42" s="35"/>
      <c r="C42" s="35"/>
    </row>
    <row r="43" customFormat="false" ht="15" hidden="false" customHeight="true" outlineLevel="0" collapsed="false">
      <c r="A43" s="35" t="s">
        <v>139</v>
      </c>
      <c r="B43" s="35"/>
      <c r="C43" s="35"/>
    </row>
  </sheetData>
  <mergeCells count="10">
    <mergeCell ref="A1:C1"/>
    <mergeCell ref="A2:C2"/>
    <mergeCell ref="A25:C25"/>
    <mergeCell ref="A33:C33"/>
    <mergeCell ref="A38:C38"/>
    <mergeCell ref="A39:C39"/>
    <mergeCell ref="A40:C40"/>
    <mergeCell ref="A41:C41"/>
    <mergeCell ref="A42:C42"/>
    <mergeCell ref="A43:C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5"/>
    <col collapsed="false" customWidth="true" hidden="false" outlineLevel="0" max="4" min="2" style="1" width="18"/>
    <col collapsed="false" customWidth="true" hidden="false" outlineLevel="0" max="5" min="5" style="1" width="40"/>
  </cols>
  <sheetData>
    <row r="1" customFormat="false" ht="17.25" hidden="false" customHeight="true" outlineLevel="0" collapsed="false">
      <c r="A1" s="2" t="s">
        <v>140</v>
      </c>
      <c r="B1" s="2"/>
      <c r="C1" s="2"/>
      <c r="D1" s="2"/>
      <c r="E1" s="2"/>
    </row>
    <row r="3" customFormat="false" ht="15" hidden="false" customHeight="true" outlineLevel="0" collapsed="false">
      <c r="A3" s="29" t="s">
        <v>141</v>
      </c>
      <c r="B3" s="29" t="s">
        <v>142</v>
      </c>
      <c r="C3" s="29" t="s">
        <v>143</v>
      </c>
      <c r="D3" s="29" t="s">
        <v>144</v>
      </c>
      <c r="E3" s="29" t="s">
        <v>145</v>
      </c>
    </row>
    <row r="4" customFormat="false" ht="15" hidden="false" customHeight="true" outlineLevel="0" collapsed="false">
      <c r="A4" s="5" t="s">
        <v>146</v>
      </c>
      <c r="B4" s="6" t="n">
        <v>30971</v>
      </c>
      <c r="C4" s="5" t="s">
        <v>147</v>
      </c>
      <c r="D4" s="5" t="n">
        <v>1</v>
      </c>
      <c r="E4" s="8" t="s">
        <v>148</v>
      </c>
    </row>
    <row r="5" customFormat="false" ht="15" hidden="false" customHeight="true" outlineLevel="0" collapsed="false">
      <c r="A5" s="5" t="s">
        <v>149</v>
      </c>
      <c r="B5" s="6" t="n">
        <v>35520</v>
      </c>
      <c r="C5" s="5" t="s">
        <v>150</v>
      </c>
      <c r="D5" s="5" t="n">
        <v>1</v>
      </c>
      <c r="E5" s="8" t="s">
        <v>151</v>
      </c>
    </row>
    <row r="6" customFormat="false" ht="15" hidden="false" customHeight="true" outlineLevel="0" collapsed="false">
      <c r="A6" s="5" t="s">
        <v>152</v>
      </c>
      <c r="B6" s="6" t="n">
        <v>35670</v>
      </c>
      <c r="C6" s="5" t="s">
        <v>150</v>
      </c>
      <c r="D6" s="5" t="n">
        <v>1</v>
      </c>
      <c r="E6" s="8" t="s">
        <v>151</v>
      </c>
    </row>
    <row r="7" customFormat="false" ht="15" hidden="false" customHeight="true" outlineLevel="0" collapsed="false">
      <c r="A7" s="5" t="s">
        <v>153</v>
      </c>
      <c r="B7" s="6" t="n">
        <v>38075</v>
      </c>
      <c r="C7" s="5" t="s">
        <v>154</v>
      </c>
      <c r="D7" s="5" t="s">
        <v>155</v>
      </c>
      <c r="E7" s="8" t="s">
        <v>156</v>
      </c>
    </row>
    <row r="8" customFormat="false" ht="15" hidden="false" customHeight="true" outlineLevel="0" collapsed="false">
      <c r="A8" s="5" t="s">
        <v>157</v>
      </c>
      <c r="B8" s="6" t="n">
        <v>38151</v>
      </c>
      <c r="C8" s="5" t="s">
        <v>154</v>
      </c>
      <c r="D8" s="5" t="s">
        <v>155</v>
      </c>
      <c r="E8" s="8" t="s">
        <v>158</v>
      </c>
    </row>
    <row r="9" customFormat="false" ht="15" hidden="false" customHeight="true" outlineLevel="0" collapsed="false">
      <c r="A9" s="5" t="s">
        <v>159</v>
      </c>
      <c r="B9" s="6" t="n">
        <v>24000</v>
      </c>
      <c r="C9" s="5" t="s">
        <v>150</v>
      </c>
      <c r="D9" s="5" t="s">
        <v>160</v>
      </c>
      <c r="E9" s="8" t="s">
        <v>161</v>
      </c>
    </row>
    <row r="10" customFormat="false" ht="15" hidden="false" customHeight="true" outlineLevel="0" collapsed="false">
      <c r="A10" s="5" t="s">
        <v>162</v>
      </c>
      <c r="B10" s="6" t="n">
        <v>27000</v>
      </c>
      <c r="C10" s="5" t="s">
        <v>150</v>
      </c>
      <c r="D10" s="5" t="s">
        <v>160</v>
      </c>
      <c r="E10" s="8" t="s">
        <v>161</v>
      </c>
    </row>
    <row r="12" customFormat="false" ht="15" hidden="false" customHeight="true" outlineLevel="0" collapsed="false">
      <c r="A12" s="9" t="s">
        <v>163</v>
      </c>
      <c r="B12" s="10" t="n">
        <f aca="false">AVERAGE(B4:B10)</f>
        <v>32769.5714285714</v>
      </c>
    </row>
    <row r="13" customFormat="false" ht="15" hidden="false" customHeight="true" outlineLevel="0" collapsed="false">
      <c r="A13" s="18" t="s">
        <v>164</v>
      </c>
      <c r="B13" s="36" t="n">
        <f aca="false">AVERAGE(B5,B6,B9,B10)</f>
        <v>30547.5</v>
      </c>
    </row>
    <row r="14" customFormat="false" ht="15" hidden="false" customHeight="true" outlineLevel="0" collapsed="false">
      <c r="A14" s="18" t="s">
        <v>165</v>
      </c>
      <c r="B14" s="24" t="n">
        <f aca="false">B13*2</f>
        <v>61095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2026-05-03T16:16:53Z</dcterms:created>
  <dc:creator>openpyxl</dc:creator>
  <dc:description/>
  <dc:language>en-US</dc:language>
  <cp:lastModifiedBy/>
  <dcterms:modified xsi:type="dcterms:W3CDTF">2026-05-03T16:18:15Z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